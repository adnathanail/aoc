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xnathanail/Downloads/"/>
    </mc:Choice>
  </mc:AlternateContent>
  <xr:revisionPtr revIDLastSave="0" documentId="8_{755C579F-0250-4445-B4D3-EE798718C1E5}" xr6:coauthVersionLast="47" xr6:coauthVersionMax="47" xr10:uidLastSave="{00000000-0000-0000-0000-000000000000}"/>
  <bookViews>
    <workbookView xWindow="1100" yWindow="820" windowWidth="28040" windowHeight="16380" xr2:uid="{C3544EAB-2950-F440-9D30-66E86C0A9900}"/>
  </bookViews>
  <sheets>
    <sheet name="Sheet1" sheetId="1" r:id="rId1"/>
  </sheets>
  <definedNames>
    <definedName name="_xlchart.v1.0" hidden="1">Sheet1!$D$2:$D$24</definedName>
    <definedName name="_xlchart.v1.1" hidden="1">Sheet1!$D$2:$D$49</definedName>
    <definedName name="_xlchart.v1.10" hidden="1">Sheet1!$F$1</definedName>
    <definedName name="_xlchart.v1.11" hidden="1">Sheet1!$F$2:$F$24</definedName>
    <definedName name="_xlchart.v1.12" hidden="1">Sheet1!$H$1</definedName>
    <definedName name="_xlchart.v1.13" hidden="1">Sheet1!$H$2:$H$24</definedName>
    <definedName name="_xlchart.v1.14" hidden="1">Sheet1!$I$1</definedName>
    <definedName name="_xlchart.v1.15" hidden="1">Sheet1!$I$2:$I$24</definedName>
    <definedName name="_xlchart.v1.2" hidden="1">Sheet1!$F$1</definedName>
    <definedName name="_xlchart.v1.3" hidden="1">Sheet1!$F$2:$F$24</definedName>
    <definedName name="_xlchart.v1.4" hidden="1">Sheet1!$H$1</definedName>
    <definedName name="_xlchart.v1.5" hidden="1">Sheet1!$H$2:$H$24</definedName>
    <definedName name="_xlchart.v1.6" hidden="1">Sheet1!$I$1</definedName>
    <definedName name="_xlchart.v1.7" hidden="1">Sheet1!$I$2:$I$24</definedName>
    <definedName name="_xlchart.v1.8" hidden="1">Sheet1!$D$2:$D$24</definedName>
    <definedName name="_xlchart.v1.9" hidden="1">Sheet1!$D$2:$D$49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" i="1"/>
  <c r="H3" i="1" a="1"/>
  <c r="H3" i="1" s="1"/>
  <c r="I3" i="1" s="1"/>
  <c r="H4" i="1" a="1"/>
  <c r="H4" i="1" s="1"/>
  <c r="I4" i="1" s="1"/>
  <c r="H5" i="1" a="1"/>
  <c r="H5" i="1" s="1"/>
  <c r="I5" i="1" s="1"/>
  <c r="H6" i="1" a="1"/>
  <c r="H6" i="1" s="1"/>
  <c r="I6" i="1" s="1"/>
  <c r="H7" i="1" a="1"/>
  <c r="H7" i="1" s="1"/>
  <c r="I7" i="1" s="1"/>
  <c r="H8" i="1" a="1"/>
  <c r="H8" i="1" s="1"/>
  <c r="I8" i="1" s="1"/>
  <c r="H9" i="1" a="1"/>
  <c r="H9" i="1" s="1"/>
  <c r="I9" i="1" s="1"/>
  <c r="H10" i="1" a="1"/>
  <c r="H10" i="1" s="1"/>
  <c r="I10" i="1" s="1"/>
  <c r="H11" i="1" a="1"/>
  <c r="H11" i="1" s="1"/>
  <c r="I11" i="1" s="1"/>
  <c r="H12" i="1" a="1"/>
  <c r="H12" i="1" s="1"/>
  <c r="I12" i="1" s="1"/>
  <c r="H13" i="1" a="1"/>
  <c r="H13" i="1" s="1"/>
  <c r="I13" i="1" s="1"/>
  <c r="H14" i="1" a="1"/>
  <c r="H14" i="1" s="1"/>
  <c r="I14" i="1" s="1"/>
  <c r="H15" i="1" a="1"/>
  <c r="H15" i="1" s="1"/>
  <c r="I15" i="1" s="1"/>
  <c r="H16" i="1" a="1"/>
  <c r="H16" i="1" s="1"/>
  <c r="I16" i="1" s="1"/>
  <c r="H17" i="1" a="1"/>
  <c r="H17" i="1" s="1"/>
  <c r="I17" i="1" s="1"/>
  <c r="H18" i="1" a="1"/>
  <c r="H18" i="1" s="1"/>
  <c r="I18" i="1" s="1"/>
  <c r="H19" i="1" a="1"/>
  <c r="H19" i="1" s="1"/>
  <c r="I19" i="1" s="1"/>
  <c r="H20" i="1" a="1"/>
  <c r="H20" i="1" s="1"/>
  <c r="I20" i="1" s="1"/>
  <c r="H21" i="1" a="1"/>
  <c r="H21" i="1" s="1"/>
  <c r="I21" i="1" s="1"/>
  <c r="H22" i="1" a="1"/>
  <c r="H22" i="1" s="1"/>
  <c r="I22" i="1" s="1"/>
  <c r="H23" i="1" a="1"/>
  <c r="H23" i="1" s="1"/>
  <c r="I23" i="1" s="1"/>
  <c r="H24" i="1" a="1"/>
  <c r="H24" i="1" s="1"/>
  <c r="I24" i="1" s="1"/>
  <c r="H2" i="1" a="1"/>
  <c r="H2" i="1" s="1"/>
  <c r="I2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<sst xmlns="http://schemas.openxmlformats.org/spreadsheetml/2006/main" count="99" uniqueCount="67">
  <si>
    <t>day01</t>
  </si>
  <si>
    <t>part1:</t>
  </si>
  <si>
    <t>135.01ms</t>
  </si>
  <si>
    <t>part2:</t>
  </si>
  <si>
    <t>209.88ms</t>
  </si>
  <si>
    <t>day02</t>
  </si>
  <si>
    <t>570.56ms</t>
  </si>
  <si>
    <t>2.708s</t>
  </si>
  <si>
    <t>day03</t>
  </si>
  <si>
    <t>138.60ms</t>
  </si>
  <si>
    <t>129.37ms</t>
  </si>
  <si>
    <t>day04</t>
  </si>
  <si>
    <t>140.41ms</t>
  </si>
  <si>
    <t>673.16ms</t>
  </si>
  <si>
    <t>day05</t>
  </si>
  <si>
    <t>135.81ms</t>
  </si>
  <si>
    <t>147.98ms</t>
  </si>
  <si>
    <t>day06</t>
  </si>
  <si>
    <t>126.92ms</t>
  </si>
  <si>
    <t>133.15ms</t>
  </si>
  <si>
    <t>day07</t>
  </si>
  <si>
    <t>153.59ms</t>
  </si>
  <si>
    <t>133.34ms</t>
  </si>
  <si>
    <t>day08</t>
  </si>
  <si>
    <t>31.904s</t>
  </si>
  <si>
    <t>1.525s</t>
  </si>
  <si>
    <t>day09</t>
  </si>
  <si>
    <t>359.96ms</t>
  </si>
  <si>
    <t>920.00ms</t>
  </si>
  <si>
    <t>day10</t>
  </si>
  <si>
    <t>147.27ms</t>
  </si>
  <si>
    <t>4.961s</t>
  </si>
  <si>
    <t>day11</t>
  </si>
  <si>
    <t>131.91ms</t>
  </si>
  <si>
    <t>124.91ms</t>
  </si>
  <si>
    <t>day12</t>
  </si>
  <si>
    <t>20.914s</t>
  </si>
  <si>
    <t>57.1µs</t>
  </si>
  <si>
    <t>353.8µs</t>
  </si>
  <si>
    <t>18.5ms</t>
  </si>
  <si>
    <t>419.2ms</t>
  </si>
  <si>
    <t>24.3µs</t>
  </si>
  <si>
    <t>96.2µs</t>
  </si>
  <si>
    <t>978.0µs</t>
  </si>
  <si>
    <t>19.8ms</t>
  </si>
  <si>
    <t>144.5µs</t>
  </si>
  <si>
    <t>211.2µs</t>
  </si>
  <si>
    <t>123.3µs</t>
  </si>
  <si>
    <t>249.4µs</t>
  </si>
  <si>
    <t>210.3µs</t>
  </si>
  <si>
    <t>274.0µs</t>
  </si>
  <si>
    <t>42.3ms</t>
  </si>
  <si>
    <t>166.3ms</t>
  </si>
  <si>
    <t>118.8µs</t>
  </si>
  <si>
    <t>24.8ms</t>
  </si>
  <si>
    <t>1.2ms</t>
  </si>
  <si>
    <t>7.2s</t>
  </si>
  <si>
    <t>2.8ms</t>
  </si>
  <si>
    <t>2.7ms</t>
  </si>
  <si>
    <t>621.2ms</t>
  </si>
  <si>
    <t>-</t>
  </si>
  <si>
    <t>Python raw time</t>
  </si>
  <si>
    <t>Rust raw time</t>
  </si>
  <si>
    <t>Part</t>
  </si>
  <si>
    <t>Ratio</t>
  </si>
  <si>
    <t>Python runtime</t>
  </si>
  <si>
    <t>Rust runtime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</si>
</sst>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rgb="FFCCCCCC"/>
      <name val="Menlo"/>
      <family val="2"/>
    </font>
    <font>
      <sz val="12"/>
      <color rgb="FFD0D0D0"/>
      <name val="Menl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Advent of</a:t>
            </a:r>
            <a:r>
              <a:rPr lang="en-GB" baseline="0"/>
              <a:t> Code 2025 Rust + Python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Sheet1!$F$1</c:f>
              <c:strCache>
                <c:ptCount val="1"/>
                <c:pt idx="0">
                  <c:v>Python runtime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Sheet1!$D$2:$D$49</c:f>
              <c:strCache>
                <c:ptCount val="23"/>
                <c:pt idx="0">
                  <c:v>day01 part1</c:v>
                </c:pt>
                <c:pt idx="1">
                  <c:v>day01 part2</c:v>
                </c:pt>
                <c:pt idx="2">
                  <c:v>day02 part1</c:v>
                </c:pt>
                <c:pt idx="3">
                  <c:v>day02 part2</c:v>
                </c:pt>
                <c:pt idx="4">
                  <c:v>day03 part1</c:v>
                </c:pt>
                <c:pt idx="5">
                  <c:v>day03 part2</c:v>
                </c:pt>
                <c:pt idx="6">
                  <c:v>day04 part1</c:v>
                </c:pt>
                <c:pt idx="7">
                  <c:v>day04 part2</c:v>
                </c:pt>
                <c:pt idx="8">
                  <c:v>day05 part1</c:v>
                </c:pt>
                <c:pt idx="9">
                  <c:v>day05 part2</c:v>
                </c:pt>
                <c:pt idx="10">
                  <c:v>day06 part1</c:v>
                </c:pt>
                <c:pt idx="11">
                  <c:v>day06 part2</c:v>
                </c:pt>
                <c:pt idx="12">
                  <c:v>day07 part1</c:v>
                </c:pt>
                <c:pt idx="13">
                  <c:v>day07 part2</c:v>
                </c:pt>
                <c:pt idx="14">
                  <c:v>day08 part1</c:v>
                </c:pt>
                <c:pt idx="15">
                  <c:v>day08 part2</c:v>
                </c:pt>
                <c:pt idx="16">
                  <c:v>day09 part1</c:v>
                </c:pt>
                <c:pt idx="17">
                  <c:v>day09 part2</c:v>
                </c:pt>
                <c:pt idx="18">
                  <c:v>day10 part1</c:v>
                </c:pt>
                <c:pt idx="19">
                  <c:v>day10 part2</c:v>
                </c:pt>
                <c:pt idx="20">
                  <c:v>day11 part1</c:v>
                </c:pt>
                <c:pt idx="21">
                  <c:v>day11 part2</c:v>
                </c:pt>
                <c:pt idx="22">
                  <c:v>day12 part1</c:v>
                </c:pt>
              </c:strCache>
            </c:strRef>
          </c:cat>
          <c:val>
            <c:numRef>
              <c:f>Sheet1!$F$2:$F$24</c:f>
              <c:numCache>
                <c:formatCode>General</c:formatCode>
                <c:ptCount val="23"/>
                <c:pt idx="0">
                  <c:v>135010</c:v>
                </c:pt>
                <c:pt idx="1">
                  <c:v>209880</c:v>
                </c:pt>
                <c:pt idx="2">
                  <c:v>570560</c:v>
                </c:pt>
                <c:pt idx="3">
                  <c:v>2708000</c:v>
                </c:pt>
                <c:pt idx="4">
                  <c:v>138600</c:v>
                </c:pt>
                <c:pt idx="5">
                  <c:v>129370</c:v>
                </c:pt>
                <c:pt idx="6">
                  <c:v>140410</c:v>
                </c:pt>
                <c:pt idx="7">
                  <c:v>673160</c:v>
                </c:pt>
                <c:pt idx="8">
                  <c:v>135810</c:v>
                </c:pt>
                <c:pt idx="9">
                  <c:v>147980</c:v>
                </c:pt>
                <c:pt idx="10">
                  <c:v>126920</c:v>
                </c:pt>
                <c:pt idx="11">
                  <c:v>133150</c:v>
                </c:pt>
                <c:pt idx="12">
                  <c:v>153590</c:v>
                </c:pt>
                <c:pt idx="13">
                  <c:v>133340</c:v>
                </c:pt>
                <c:pt idx="14">
                  <c:v>31904000</c:v>
                </c:pt>
                <c:pt idx="15">
                  <c:v>1525000</c:v>
                </c:pt>
                <c:pt idx="16">
                  <c:v>359960</c:v>
                </c:pt>
                <c:pt idx="17">
                  <c:v>920000</c:v>
                </c:pt>
                <c:pt idx="18">
                  <c:v>147270</c:v>
                </c:pt>
                <c:pt idx="19">
                  <c:v>4961000</c:v>
                </c:pt>
                <c:pt idx="20">
                  <c:v>131910</c:v>
                </c:pt>
                <c:pt idx="21">
                  <c:v>124910</c:v>
                </c:pt>
                <c:pt idx="22">
                  <c:v>20914000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6E-9D47-8F1D-022B23131CDD}"/>
            </c:ext>
          </c:extLst>
        </c:ser>
        <c:ser>
          <c:idx val="1"/>
          <c:order val="1"/>
          <c:tx>
            <c:strRef>
              <c:f>Sheet1!$H$1</c:f>
              <c:strCache>
                <c:ptCount val="1"/>
                <c:pt idx="0">
                  <c:v>Rust runtime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Sheet1!$D$2:$D$49</c:f>
              <c:strCache>
                <c:ptCount val="23"/>
                <c:pt idx="0">
                  <c:v>day01 part1</c:v>
                </c:pt>
                <c:pt idx="1">
                  <c:v>day01 part2</c:v>
                </c:pt>
                <c:pt idx="2">
                  <c:v>day02 part1</c:v>
                </c:pt>
                <c:pt idx="3">
                  <c:v>day02 part2</c:v>
                </c:pt>
                <c:pt idx="4">
                  <c:v>day03 part1</c:v>
                </c:pt>
                <c:pt idx="5">
                  <c:v>day03 part2</c:v>
                </c:pt>
                <c:pt idx="6">
                  <c:v>day04 part1</c:v>
                </c:pt>
                <c:pt idx="7">
                  <c:v>day04 part2</c:v>
                </c:pt>
                <c:pt idx="8">
                  <c:v>day05 part1</c:v>
                </c:pt>
                <c:pt idx="9">
                  <c:v>day05 part2</c:v>
                </c:pt>
                <c:pt idx="10">
                  <c:v>day06 part1</c:v>
                </c:pt>
                <c:pt idx="11">
                  <c:v>day06 part2</c:v>
                </c:pt>
                <c:pt idx="12">
                  <c:v>day07 part1</c:v>
                </c:pt>
                <c:pt idx="13">
                  <c:v>day07 part2</c:v>
                </c:pt>
                <c:pt idx="14">
                  <c:v>day08 part1</c:v>
                </c:pt>
                <c:pt idx="15">
                  <c:v>day08 part2</c:v>
                </c:pt>
                <c:pt idx="16">
                  <c:v>day09 part1</c:v>
                </c:pt>
                <c:pt idx="17">
                  <c:v>day09 part2</c:v>
                </c:pt>
                <c:pt idx="18">
                  <c:v>day10 part1</c:v>
                </c:pt>
                <c:pt idx="19">
                  <c:v>day10 part2</c:v>
                </c:pt>
                <c:pt idx="20">
                  <c:v>day11 part1</c:v>
                </c:pt>
                <c:pt idx="21">
                  <c:v>day11 part2</c:v>
                </c:pt>
                <c:pt idx="22">
                  <c:v>day12 part1</c:v>
                </c:pt>
              </c:strCache>
            </c:strRef>
          </c:cat>
          <c:val>
            <c:numRef>
              <c:f>Sheet1!$H$2:$H$24</c:f>
              <c:numCache>
                <c:formatCode>General</c:formatCode>
                <c:ptCount val="23"/>
                <c:pt idx="0">
                  <c:v>57.1</c:v>
                </c:pt>
                <c:pt idx="1">
                  <c:v>353.8</c:v>
                </c:pt>
                <c:pt idx="2">
                  <c:v>18500</c:v>
                </c:pt>
                <c:pt idx="3">
                  <c:v>419200</c:v>
                </c:pt>
                <c:pt idx="4">
                  <c:v>24.3</c:v>
                </c:pt>
                <c:pt idx="5">
                  <c:v>96.2</c:v>
                </c:pt>
                <c:pt idx="6">
                  <c:v>978</c:v>
                </c:pt>
                <c:pt idx="7">
                  <c:v>19800</c:v>
                </c:pt>
                <c:pt idx="8">
                  <c:v>144.5</c:v>
                </c:pt>
                <c:pt idx="9">
                  <c:v>211.2</c:v>
                </c:pt>
                <c:pt idx="10">
                  <c:v>123.3</c:v>
                </c:pt>
                <c:pt idx="11">
                  <c:v>249.4</c:v>
                </c:pt>
                <c:pt idx="12">
                  <c:v>210.3</c:v>
                </c:pt>
                <c:pt idx="13">
                  <c:v>274</c:v>
                </c:pt>
                <c:pt idx="14">
                  <c:v>42300</c:v>
                </c:pt>
                <c:pt idx="15">
                  <c:v>166300</c:v>
                </c:pt>
                <c:pt idx="16">
                  <c:v>118.8</c:v>
                </c:pt>
                <c:pt idx="17">
                  <c:v>24800</c:v>
                </c:pt>
                <c:pt idx="18">
                  <c:v>1200</c:v>
                </c:pt>
                <c:pt idx="19">
                  <c:v>7200000</c:v>
                </c:pt>
                <c:pt idx="20">
                  <c:v>2800</c:v>
                </c:pt>
                <c:pt idx="21">
                  <c:v>2700</c:v>
                </c:pt>
                <c:pt idx="22">
                  <c:v>621200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26E-9D47-8F1D-022B23131C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31365712"/>
        <c:axId val="1830889072"/>
      </c:barChart>
      <c:barChart>
        <c:barDir val="col"/>
        <c:grouping val="clustered"/>
        <c:varyColors val="0"/>
        <c:ser>
          <c:idx val="2"/>
          <c:order val="2"/>
          <c:tx>
            <c:strRef>
              <c:f>Sheet1!$I$1</c:f>
              <c:strCache>
                <c:ptCount val="1"/>
                <c:pt idx="0">
                  <c:v>Ratio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Sheet1!$D$2:$D$24</c:f>
              <c:strCache>
                <c:ptCount val="23"/>
                <c:pt idx="0">
                  <c:v>day01 part1</c:v>
                </c:pt>
                <c:pt idx="1">
                  <c:v>day01 part2</c:v>
                </c:pt>
                <c:pt idx="2">
                  <c:v>day02 part1</c:v>
                </c:pt>
                <c:pt idx="3">
                  <c:v>day02 part2</c:v>
                </c:pt>
                <c:pt idx="4">
                  <c:v>day03 part1</c:v>
                </c:pt>
                <c:pt idx="5">
                  <c:v>day03 part2</c:v>
                </c:pt>
                <c:pt idx="6">
                  <c:v>day04 part1</c:v>
                </c:pt>
                <c:pt idx="7">
                  <c:v>day04 part2</c:v>
                </c:pt>
                <c:pt idx="8">
                  <c:v>day05 part1</c:v>
                </c:pt>
                <c:pt idx="9">
                  <c:v>day05 part2</c:v>
                </c:pt>
                <c:pt idx="10">
                  <c:v>day06 part1</c:v>
                </c:pt>
                <c:pt idx="11">
                  <c:v>day06 part2</c:v>
                </c:pt>
                <c:pt idx="12">
                  <c:v>day07 part1</c:v>
                </c:pt>
                <c:pt idx="13">
                  <c:v>day07 part2</c:v>
                </c:pt>
                <c:pt idx="14">
                  <c:v>day08 part1</c:v>
                </c:pt>
                <c:pt idx="15">
                  <c:v>day08 part2</c:v>
                </c:pt>
                <c:pt idx="16">
                  <c:v>day09 part1</c:v>
                </c:pt>
                <c:pt idx="17">
                  <c:v>day09 part2</c:v>
                </c:pt>
                <c:pt idx="18">
                  <c:v>day10 part1</c:v>
                </c:pt>
                <c:pt idx="19">
                  <c:v>day10 part2</c:v>
                </c:pt>
                <c:pt idx="20">
                  <c:v>day11 part1</c:v>
                </c:pt>
                <c:pt idx="21">
                  <c:v>day11 part2</c:v>
                </c:pt>
                <c:pt idx="22">
                  <c:v>day12 part1</c:v>
                </c:pt>
              </c:strCache>
            </c:strRef>
          </c:cat>
          <c:val>
            <c:numRef>
              <c:f>Sheet1!$I$2:$I$24</c:f>
              <c:numCache>
                <c:formatCode>General</c:formatCode>
                <c:ptCount val="23"/>
                <c:pt idx="0">
                  <c:v>2364.4483362521892</c:v>
                </c:pt>
                <c:pt idx="1">
                  <c:v>593.21650650084791</c:v>
                </c:pt>
                <c:pt idx="2">
                  <c:v>30.841081081081082</c:v>
                </c:pt>
                <c:pt idx="3">
                  <c:v>6.4599236641221376</c:v>
                </c:pt>
                <c:pt idx="4">
                  <c:v>5703.7037037037035</c:v>
                </c:pt>
                <c:pt idx="5">
                  <c:v>1344.8024948024947</c:v>
                </c:pt>
                <c:pt idx="6">
                  <c:v>143.56850715746421</c:v>
                </c:pt>
                <c:pt idx="7">
                  <c:v>33.997979797979795</c:v>
                </c:pt>
                <c:pt idx="8">
                  <c:v>939.86159169550172</c:v>
                </c:pt>
                <c:pt idx="9">
                  <c:v>700.66287878787887</c:v>
                </c:pt>
                <c:pt idx="10">
                  <c:v>1029.359286293593</c:v>
                </c:pt>
                <c:pt idx="11">
                  <c:v>533.88131515637531</c:v>
                </c:pt>
                <c:pt idx="12">
                  <c:v>730.33761293390387</c:v>
                </c:pt>
                <c:pt idx="13">
                  <c:v>486.64233576642334</c:v>
                </c:pt>
                <c:pt idx="14">
                  <c:v>754.23167848699768</c:v>
                </c:pt>
                <c:pt idx="15">
                  <c:v>9.1701743836440173</c:v>
                </c:pt>
                <c:pt idx="16">
                  <c:v>3029.9663299663302</c:v>
                </c:pt>
                <c:pt idx="17">
                  <c:v>37.096774193548384</c:v>
                </c:pt>
                <c:pt idx="18">
                  <c:v>122.72499999999999</c:v>
                </c:pt>
                <c:pt idx="19">
                  <c:v>0.68902777777777779</c:v>
                </c:pt>
                <c:pt idx="20">
                  <c:v>47.110714285714288</c:v>
                </c:pt>
                <c:pt idx="21">
                  <c:v>46.262962962962966</c:v>
                </c:pt>
                <c:pt idx="22">
                  <c:v>33.667095943335482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26E-9D47-8F1D-022B23131C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57862576"/>
        <c:axId val="858317520"/>
      </c:barChart>
      <c:catAx>
        <c:axId val="1831365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0889072"/>
        <c:crosses val="autoZero"/>
        <c:auto val="1"/>
        <c:lblAlgn val="ctr"/>
        <c:lblOffset val="100"/>
        <c:noMultiLvlLbl val="0"/>
      </c:catAx>
      <c:valAx>
        <c:axId val="1830889072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Runtime (µs)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1365712"/>
        <c:crosses val="autoZero"/>
        <c:crossBetween val="between"/>
      </c:valAx>
      <c:valAx>
        <c:axId val="858317520"/>
        <c:scaling>
          <c:orientation val="minMax"/>
        </c:scaling>
        <c:delete val="0"/>
        <c:axPos val="r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Ratio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7862576"/>
        <c:crosses val="max"/>
        <c:crossBetween val="between"/>
      </c:valAx>
      <c:catAx>
        <c:axId val="185786257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858317520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774700</xdr:colOff>
      <xdr:row>4</xdr:row>
      <xdr:rowOff>139700</xdr:rowOff>
    </xdr:from>
    <xdr:to>
      <xdr:col>15</xdr:col>
      <xdr:colOff>38100</xdr:colOff>
      <xdr:row>29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7181488-7700-54D7-9FDB-8DB69FFEDE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81505-9E15-B04B-8ED8-EED275A03ADE}">
  <dimension ref="B1:I49"/>
  <sheetViews>
    <sheetView tabSelected="1" workbookViewId="0">
      <selection activeCell="H33" sqref="H33"/>
    </sheetView>
  </sheetViews>
  <sheetFormatPr baseColWidth="10" defaultRowHeight="16" x14ac:dyDescent="0.2"/>
  <sheetData>
    <row r="1" spans="2:9" x14ac:dyDescent="0.2">
      <c r="D1" t="s">
        <v>63</v>
      </c>
      <c r="E1" t="s">
        <v>61</v>
      </c>
      <c r="F1" t="s">
        <v>65</v>
      </c>
      <c r="G1" t="s">
        <v>62</v>
      </c>
      <c r="H1" t="s">
        <v>66</v>
      </c>
      <c r="I1" t="s">
        <v>64</v>
      </c>
    </row>
    <row r="2" spans="2:9" x14ac:dyDescent="0.2">
      <c r="B2" s="1" t="s">
        <v>0</v>
      </c>
      <c r="C2" t="s">
        <v>1</v>
      </c>
      <c r="D2" t="str">
        <f>_xlfn.CONCAT(B2," ",_xlfn.CHOOSECOLS(_xlfn.TEXTSPLIT(C2,":"),1))</f>
        <v>day01 part1</v>
      </c>
      <c r="E2" t="s">
        <v>2</v>
      </c>
      <c r="F2">
        <v>135010</v>
      </c>
      <c r="G2" s="2" t="s">
        <v>37</v>
      </c>
      <c r="H2" cm="1">
        <f t="array" ref="H2">IF(ISNUMBER(SEARCH("µ",G2)),VALUE(_xlfn.CHOOSECOLS(_xlfn.TEXTSPLIT(G2,"µ"),1)),IF(ISNUMBER(SEARCH("m",G2)),VALUE(_xlfn.CHOOSECOLS(_xlfn.TEXTSPLIT(G2,"m"),1))*1000,VALUE(_xlfn.CHOOSECOLS(_xlfn.TEXTSPLIT(G2,"s"),1))*1000000))</f>
        <v>57.1</v>
      </c>
      <c r="I2">
        <f>F2/H2</f>
        <v>2364.4483362521892</v>
      </c>
    </row>
    <row r="3" spans="2:9" x14ac:dyDescent="0.2">
      <c r="B3" s="1" t="s">
        <v>0</v>
      </c>
      <c r="C3" t="s">
        <v>3</v>
      </c>
      <c r="D3" t="str">
        <f t="shared" ref="D3:D24" si="0">_xlfn.CONCAT(B3," ",_xlfn.CHOOSECOLS(_xlfn.TEXTSPLIT(C3,":"),1))</f>
        <v>day01 part2</v>
      </c>
      <c r="E3" t="s">
        <v>4</v>
      </c>
      <c r="F3">
        <v>209880</v>
      </c>
      <c r="G3" s="2" t="s">
        <v>38</v>
      </c>
      <c r="H3" cm="1">
        <f t="array" ref="H3">IF(ISNUMBER(SEARCH("µ",G3)),VALUE(_xlfn.CHOOSECOLS(_xlfn.TEXTSPLIT(G3,"µ"),1)),IF(ISNUMBER(SEARCH("m",G3)),VALUE(_xlfn.CHOOSECOLS(_xlfn.TEXTSPLIT(G3,"m"),1))*1000,VALUE(_xlfn.CHOOSECOLS(_xlfn.TEXTSPLIT(G3,"s"),1))*1000000))</f>
        <v>353.8</v>
      </c>
      <c r="I3">
        <f t="shared" ref="I3:I24" si="1">F3/H3</f>
        <v>593.21650650084791</v>
      </c>
    </row>
    <row r="4" spans="2:9" x14ac:dyDescent="0.2">
      <c r="B4" s="1" t="s">
        <v>5</v>
      </c>
      <c r="C4" t="s">
        <v>1</v>
      </c>
      <c r="D4" t="str">
        <f t="shared" si="0"/>
        <v>day02 part1</v>
      </c>
      <c r="E4" t="s">
        <v>6</v>
      </c>
      <c r="F4">
        <v>570560</v>
      </c>
      <c r="G4" s="2" t="s">
        <v>39</v>
      </c>
      <c r="H4" cm="1">
        <f t="array" ref="H4">IF(ISNUMBER(SEARCH("µ",G4)),VALUE(_xlfn.CHOOSECOLS(_xlfn.TEXTSPLIT(G4,"µ"),1)),IF(ISNUMBER(SEARCH("m",G4)),VALUE(_xlfn.CHOOSECOLS(_xlfn.TEXTSPLIT(G4,"m"),1))*1000,VALUE(_xlfn.CHOOSECOLS(_xlfn.TEXTSPLIT(G4,"s"),1))*1000000))</f>
        <v>18500</v>
      </c>
      <c r="I4">
        <f t="shared" si="1"/>
        <v>30.841081081081082</v>
      </c>
    </row>
    <row r="5" spans="2:9" x14ac:dyDescent="0.2">
      <c r="B5" s="1" t="s">
        <v>5</v>
      </c>
      <c r="C5" t="s">
        <v>3</v>
      </c>
      <c r="D5" t="str">
        <f t="shared" si="0"/>
        <v>day02 part2</v>
      </c>
      <c r="E5" t="s">
        <v>7</v>
      </c>
      <c r="F5">
        <v>2708000</v>
      </c>
      <c r="G5" s="2" t="s">
        <v>40</v>
      </c>
      <c r="H5" cm="1">
        <f t="array" ref="H5">IF(ISNUMBER(SEARCH("µ",G5)),VALUE(_xlfn.CHOOSECOLS(_xlfn.TEXTSPLIT(G5,"µ"),1)),IF(ISNUMBER(SEARCH("m",G5)),VALUE(_xlfn.CHOOSECOLS(_xlfn.TEXTSPLIT(G5,"m"),1))*1000,VALUE(_xlfn.CHOOSECOLS(_xlfn.TEXTSPLIT(G5,"s"),1))*1000000))</f>
        <v>419200</v>
      </c>
      <c r="I5">
        <f t="shared" si="1"/>
        <v>6.4599236641221376</v>
      </c>
    </row>
    <row r="6" spans="2:9" x14ac:dyDescent="0.2">
      <c r="B6" s="1" t="s">
        <v>8</v>
      </c>
      <c r="C6" t="s">
        <v>1</v>
      </c>
      <c r="D6" t="str">
        <f t="shared" si="0"/>
        <v>day03 part1</v>
      </c>
      <c r="E6" t="s">
        <v>9</v>
      </c>
      <c r="F6">
        <v>138600</v>
      </c>
      <c r="G6" s="2" t="s">
        <v>41</v>
      </c>
      <c r="H6" cm="1">
        <f t="array" ref="H6">IF(ISNUMBER(SEARCH("µ",G6)),VALUE(_xlfn.CHOOSECOLS(_xlfn.TEXTSPLIT(G6,"µ"),1)),IF(ISNUMBER(SEARCH("m",G6)),VALUE(_xlfn.CHOOSECOLS(_xlfn.TEXTSPLIT(G6,"m"),1))*1000,VALUE(_xlfn.CHOOSECOLS(_xlfn.TEXTSPLIT(G6,"s"),1))*1000000))</f>
        <v>24.3</v>
      </c>
      <c r="I6">
        <f t="shared" si="1"/>
        <v>5703.7037037037035</v>
      </c>
    </row>
    <row r="7" spans="2:9" x14ac:dyDescent="0.2">
      <c r="B7" s="1" t="s">
        <v>8</v>
      </c>
      <c r="C7" t="s">
        <v>3</v>
      </c>
      <c r="D7" t="str">
        <f t="shared" si="0"/>
        <v>day03 part2</v>
      </c>
      <c r="E7" t="s">
        <v>10</v>
      </c>
      <c r="F7">
        <v>129370</v>
      </c>
      <c r="G7" s="2" t="s">
        <v>42</v>
      </c>
      <c r="H7" cm="1">
        <f t="array" ref="H7">IF(ISNUMBER(SEARCH("µ",G7)),VALUE(_xlfn.CHOOSECOLS(_xlfn.TEXTSPLIT(G7,"µ"),1)),IF(ISNUMBER(SEARCH("m",G7)),VALUE(_xlfn.CHOOSECOLS(_xlfn.TEXTSPLIT(G7,"m"),1))*1000,VALUE(_xlfn.CHOOSECOLS(_xlfn.TEXTSPLIT(G7,"s"),1))*1000000))</f>
        <v>96.2</v>
      </c>
      <c r="I7">
        <f t="shared" si="1"/>
        <v>1344.8024948024947</v>
      </c>
    </row>
    <row r="8" spans="2:9" x14ac:dyDescent="0.2">
      <c r="B8" s="1" t="s">
        <v>11</v>
      </c>
      <c r="C8" t="s">
        <v>1</v>
      </c>
      <c r="D8" t="str">
        <f t="shared" si="0"/>
        <v>day04 part1</v>
      </c>
      <c r="E8" t="s">
        <v>12</v>
      </c>
      <c r="F8">
        <v>140410</v>
      </c>
      <c r="G8" s="2" t="s">
        <v>43</v>
      </c>
      <c r="H8" cm="1">
        <f t="array" ref="H8">IF(ISNUMBER(SEARCH("µ",G8)),VALUE(_xlfn.CHOOSECOLS(_xlfn.TEXTSPLIT(G8,"µ"),1)),IF(ISNUMBER(SEARCH("m",G8)),VALUE(_xlfn.CHOOSECOLS(_xlfn.TEXTSPLIT(G8,"m"),1))*1000,VALUE(_xlfn.CHOOSECOLS(_xlfn.TEXTSPLIT(G8,"s"),1))*1000000))</f>
        <v>978</v>
      </c>
      <c r="I8">
        <f t="shared" si="1"/>
        <v>143.56850715746421</v>
      </c>
    </row>
    <row r="9" spans="2:9" x14ac:dyDescent="0.2">
      <c r="B9" s="1" t="s">
        <v>11</v>
      </c>
      <c r="C9" t="s">
        <v>3</v>
      </c>
      <c r="D9" t="str">
        <f t="shared" si="0"/>
        <v>day04 part2</v>
      </c>
      <c r="E9" t="s">
        <v>13</v>
      </c>
      <c r="F9">
        <v>673160</v>
      </c>
      <c r="G9" s="2" t="s">
        <v>44</v>
      </c>
      <c r="H9" cm="1">
        <f t="array" ref="H9">IF(ISNUMBER(SEARCH("µ",G9)),VALUE(_xlfn.CHOOSECOLS(_xlfn.TEXTSPLIT(G9,"µ"),1)),IF(ISNUMBER(SEARCH("m",G9)),VALUE(_xlfn.CHOOSECOLS(_xlfn.TEXTSPLIT(G9,"m"),1))*1000,VALUE(_xlfn.CHOOSECOLS(_xlfn.TEXTSPLIT(G9,"s"),1))*1000000))</f>
        <v>19800</v>
      </c>
      <c r="I9">
        <f t="shared" si="1"/>
        <v>33.997979797979795</v>
      </c>
    </row>
    <row r="10" spans="2:9" x14ac:dyDescent="0.2">
      <c r="B10" s="1" t="s">
        <v>14</v>
      </c>
      <c r="C10" t="s">
        <v>1</v>
      </c>
      <c r="D10" t="str">
        <f t="shared" si="0"/>
        <v>day05 part1</v>
      </c>
      <c r="E10" t="s">
        <v>15</v>
      </c>
      <c r="F10">
        <v>135810</v>
      </c>
      <c r="G10" s="2" t="s">
        <v>45</v>
      </c>
      <c r="H10" cm="1">
        <f t="array" ref="H10">IF(ISNUMBER(SEARCH("µ",G10)),VALUE(_xlfn.CHOOSECOLS(_xlfn.TEXTSPLIT(G10,"µ"),1)),IF(ISNUMBER(SEARCH("m",G10)),VALUE(_xlfn.CHOOSECOLS(_xlfn.TEXTSPLIT(G10,"m"),1))*1000,VALUE(_xlfn.CHOOSECOLS(_xlfn.TEXTSPLIT(G10,"s"),1))*1000000))</f>
        <v>144.5</v>
      </c>
      <c r="I10">
        <f t="shared" si="1"/>
        <v>939.86159169550172</v>
      </c>
    </row>
    <row r="11" spans="2:9" x14ac:dyDescent="0.2">
      <c r="B11" s="1" t="s">
        <v>14</v>
      </c>
      <c r="C11" t="s">
        <v>3</v>
      </c>
      <c r="D11" t="str">
        <f t="shared" si="0"/>
        <v>day05 part2</v>
      </c>
      <c r="E11" t="s">
        <v>16</v>
      </c>
      <c r="F11">
        <v>147980</v>
      </c>
      <c r="G11" s="2" t="s">
        <v>46</v>
      </c>
      <c r="H11" cm="1">
        <f t="array" ref="H11">IF(ISNUMBER(SEARCH("µ",G11)),VALUE(_xlfn.CHOOSECOLS(_xlfn.TEXTSPLIT(G11,"µ"),1)),IF(ISNUMBER(SEARCH("m",G11)),VALUE(_xlfn.CHOOSECOLS(_xlfn.TEXTSPLIT(G11,"m"),1))*1000,VALUE(_xlfn.CHOOSECOLS(_xlfn.TEXTSPLIT(G11,"s"),1))*1000000))</f>
        <v>211.2</v>
      </c>
      <c r="I11">
        <f t="shared" si="1"/>
        <v>700.66287878787887</v>
      </c>
    </row>
    <row r="12" spans="2:9" x14ac:dyDescent="0.2">
      <c r="B12" s="1" t="s">
        <v>17</v>
      </c>
      <c r="C12" t="s">
        <v>1</v>
      </c>
      <c r="D12" t="str">
        <f t="shared" si="0"/>
        <v>day06 part1</v>
      </c>
      <c r="E12" t="s">
        <v>18</v>
      </c>
      <c r="F12">
        <v>126920</v>
      </c>
      <c r="G12" s="2" t="s">
        <v>47</v>
      </c>
      <c r="H12" cm="1">
        <f t="array" ref="H12">IF(ISNUMBER(SEARCH("µ",G12)),VALUE(_xlfn.CHOOSECOLS(_xlfn.TEXTSPLIT(G12,"µ"),1)),IF(ISNUMBER(SEARCH("m",G12)),VALUE(_xlfn.CHOOSECOLS(_xlfn.TEXTSPLIT(G12,"m"),1))*1000,VALUE(_xlfn.CHOOSECOLS(_xlfn.TEXTSPLIT(G12,"s"),1))*1000000))</f>
        <v>123.3</v>
      </c>
      <c r="I12">
        <f t="shared" si="1"/>
        <v>1029.359286293593</v>
      </c>
    </row>
    <row r="13" spans="2:9" x14ac:dyDescent="0.2">
      <c r="B13" s="1" t="s">
        <v>17</v>
      </c>
      <c r="C13" t="s">
        <v>3</v>
      </c>
      <c r="D13" t="str">
        <f t="shared" si="0"/>
        <v>day06 part2</v>
      </c>
      <c r="E13" t="s">
        <v>19</v>
      </c>
      <c r="F13">
        <v>133150</v>
      </c>
      <c r="G13" s="2" t="s">
        <v>48</v>
      </c>
      <c r="H13" cm="1">
        <f t="array" ref="H13">IF(ISNUMBER(SEARCH("µ",G13)),VALUE(_xlfn.CHOOSECOLS(_xlfn.TEXTSPLIT(G13,"µ"),1)),IF(ISNUMBER(SEARCH("m",G13)),VALUE(_xlfn.CHOOSECOLS(_xlfn.TEXTSPLIT(G13,"m"),1))*1000,VALUE(_xlfn.CHOOSECOLS(_xlfn.TEXTSPLIT(G13,"s"),1))*1000000))</f>
        <v>249.4</v>
      </c>
      <c r="I13">
        <f t="shared" si="1"/>
        <v>533.88131515637531</v>
      </c>
    </row>
    <row r="14" spans="2:9" x14ac:dyDescent="0.2">
      <c r="B14" s="1" t="s">
        <v>20</v>
      </c>
      <c r="C14" t="s">
        <v>1</v>
      </c>
      <c r="D14" t="str">
        <f t="shared" si="0"/>
        <v>day07 part1</v>
      </c>
      <c r="E14" t="s">
        <v>21</v>
      </c>
      <c r="F14">
        <v>153590</v>
      </c>
      <c r="G14" s="2" t="s">
        <v>49</v>
      </c>
      <c r="H14" cm="1">
        <f t="array" ref="H14">IF(ISNUMBER(SEARCH("µ",G14)),VALUE(_xlfn.CHOOSECOLS(_xlfn.TEXTSPLIT(G14,"µ"),1)),IF(ISNUMBER(SEARCH("m",G14)),VALUE(_xlfn.CHOOSECOLS(_xlfn.TEXTSPLIT(G14,"m"),1))*1000,VALUE(_xlfn.CHOOSECOLS(_xlfn.TEXTSPLIT(G14,"s"),1))*1000000))</f>
        <v>210.3</v>
      </c>
      <c r="I14">
        <f t="shared" si="1"/>
        <v>730.33761293390387</v>
      </c>
    </row>
    <row r="15" spans="2:9" x14ac:dyDescent="0.2">
      <c r="B15" s="1" t="s">
        <v>20</v>
      </c>
      <c r="C15" t="s">
        <v>3</v>
      </c>
      <c r="D15" t="str">
        <f t="shared" si="0"/>
        <v>day07 part2</v>
      </c>
      <c r="E15" t="s">
        <v>22</v>
      </c>
      <c r="F15">
        <v>133340</v>
      </c>
      <c r="G15" s="2" t="s">
        <v>50</v>
      </c>
      <c r="H15" cm="1">
        <f t="array" ref="H15">IF(ISNUMBER(SEARCH("µ",G15)),VALUE(_xlfn.CHOOSECOLS(_xlfn.TEXTSPLIT(G15,"µ"),1)),IF(ISNUMBER(SEARCH("m",G15)),VALUE(_xlfn.CHOOSECOLS(_xlfn.TEXTSPLIT(G15,"m"),1))*1000,VALUE(_xlfn.CHOOSECOLS(_xlfn.TEXTSPLIT(G15,"s"),1))*1000000))</f>
        <v>274</v>
      </c>
      <c r="I15">
        <f t="shared" si="1"/>
        <v>486.64233576642334</v>
      </c>
    </row>
    <row r="16" spans="2:9" x14ac:dyDescent="0.2">
      <c r="B16" s="1" t="s">
        <v>23</v>
      </c>
      <c r="C16" t="s">
        <v>1</v>
      </c>
      <c r="D16" t="str">
        <f t="shared" si="0"/>
        <v>day08 part1</v>
      </c>
      <c r="E16" t="s">
        <v>24</v>
      </c>
      <c r="F16">
        <v>31904000</v>
      </c>
      <c r="G16" s="2" t="s">
        <v>51</v>
      </c>
      <c r="H16" cm="1">
        <f t="array" ref="H16">IF(ISNUMBER(SEARCH("µ",G16)),VALUE(_xlfn.CHOOSECOLS(_xlfn.TEXTSPLIT(G16,"µ"),1)),IF(ISNUMBER(SEARCH("m",G16)),VALUE(_xlfn.CHOOSECOLS(_xlfn.TEXTSPLIT(G16,"m"),1))*1000,VALUE(_xlfn.CHOOSECOLS(_xlfn.TEXTSPLIT(G16,"s"),1))*1000000))</f>
        <v>42300</v>
      </c>
      <c r="I16">
        <f t="shared" si="1"/>
        <v>754.23167848699768</v>
      </c>
    </row>
    <row r="17" spans="2:9" x14ac:dyDescent="0.2">
      <c r="B17" s="1" t="s">
        <v>23</v>
      </c>
      <c r="C17" t="s">
        <v>3</v>
      </c>
      <c r="D17" t="str">
        <f t="shared" si="0"/>
        <v>day08 part2</v>
      </c>
      <c r="E17" t="s">
        <v>25</v>
      </c>
      <c r="F17">
        <v>1525000</v>
      </c>
      <c r="G17" s="2" t="s">
        <v>52</v>
      </c>
      <c r="H17" cm="1">
        <f t="array" ref="H17">IF(ISNUMBER(SEARCH("µ",G17)),VALUE(_xlfn.CHOOSECOLS(_xlfn.TEXTSPLIT(G17,"µ"),1)),IF(ISNUMBER(SEARCH("m",G17)),VALUE(_xlfn.CHOOSECOLS(_xlfn.TEXTSPLIT(G17,"m"),1))*1000,VALUE(_xlfn.CHOOSECOLS(_xlfn.TEXTSPLIT(G17,"s"),1))*1000000))</f>
        <v>166300</v>
      </c>
      <c r="I17">
        <f t="shared" si="1"/>
        <v>9.1701743836440173</v>
      </c>
    </row>
    <row r="18" spans="2:9" x14ac:dyDescent="0.2">
      <c r="B18" s="1" t="s">
        <v>26</v>
      </c>
      <c r="C18" t="s">
        <v>1</v>
      </c>
      <c r="D18" t="str">
        <f t="shared" si="0"/>
        <v>day09 part1</v>
      </c>
      <c r="E18" t="s">
        <v>27</v>
      </c>
      <c r="F18">
        <v>359960</v>
      </c>
      <c r="G18" s="2" t="s">
        <v>53</v>
      </c>
      <c r="H18" cm="1">
        <f t="array" ref="H18">IF(ISNUMBER(SEARCH("µ",G18)),VALUE(_xlfn.CHOOSECOLS(_xlfn.TEXTSPLIT(G18,"µ"),1)),IF(ISNUMBER(SEARCH("m",G18)),VALUE(_xlfn.CHOOSECOLS(_xlfn.TEXTSPLIT(G18,"m"),1))*1000,VALUE(_xlfn.CHOOSECOLS(_xlfn.TEXTSPLIT(G18,"s"),1))*1000000))</f>
        <v>118.8</v>
      </c>
      <c r="I18">
        <f t="shared" si="1"/>
        <v>3029.9663299663302</v>
      </c>
    </row>
    <row r="19" spans="2:9" x14ac:dyDescent="0.2">
      <c r="B19" s="1" t="s">
        <v>26</v>
      </c>
      <c r="C19" t="s">
        <v>3</v>
      </c>
      <c r="D19" t="str">
        <f t="shared" si="0"/>
        <v>day09 part2</v>
      </c>
      <c r="E19" t="s">
        <v>28</v>
      </c>
      <c r="F19">
        <v>920000</v>
      </c>
      <c r="G19" s="2" t="s">
        <v>54</v>
      </c>
      <c r="H19" cm="1">
        <f t="array" ref="H19">IF(ISNUMBER(SEARCH("µ",G19)),VALUE(_xlfn.CHOOSECOLS(_xlfn.TEXTSPLIT(G19,"µ"),1)),IF(ISNUMBER(SEARCH("m",G19)),VALUE(_xlfn.CHOOSECOLS(_xlfn.TEXTSPLIT(G19,"m"),1))*1000,VALUE(_xlfn.CHOOSECOLS(_xlfn.TEXTSPLIT(G19,"s"),1))*1000000))</f>
        <v>24800</v>
      </c>
      <c r="I19">
        <f t="shared" si="1"/>
        <v>37.096774193548384</v>
      </c>
    </row>
    <row r="20" spans="2:9" x14ac:dyDescent="0.2">
      <c r="B20" s="1" t="s">
        <v>29</v>
      </c>
      <c r="C20" t="s">
        <v>1</v>
      </c>
      <c r="D20" t="str">
        <f t="shared" si="0"/>
        <v>day10 part1</v>
      </c>
      <c r="E20" t="s">
        <v>30</v>
      </c>
      <c r="F20">
        <v>147270</v>
      </c>
      <c r="G20" s="2" t="s">
        <v>55</v>
      </c>
      <c r="H20" cm="1">
        <f t="array" ref="H20">IF(ISNUMBER(SEARCH("µ",G20)),VALUE(_xlfn.CHOOSECOLS(_xlfn.TEXTSPLIT(G20,"µ"),1)),IF(ISNUMBER(SEARCH("m",G20)),VALUE(_xlfn.CHOOSECOLS(_xlfn.TEXTSPLIT(G20,"m"),1))*1000,VALUE(_xlfn.CHOOSECOLS(_xlfn.TEXTSPLIT(G20,"s"),1))*1000000))</f>
        <v>1200</v>
      </c>
      <c r="I20">
        <f t="shared" si="1"/>
        <v>122.72499999999999</v>
      </c>
    </row>
    <row r="21" spans="2:9" x14ac:dyDescent="0.2">
      <c r="B21" s="1" t="s">
        <v>29</v>
      </c>
      <c r="C21" t="s">
        <v>3</v>
      </c>
      <c r="D21" t="str">
        <f t="shared" si="0"/>
        <v>day10 part2</v>
      </c>
      <c r="E21" t="s">
        <v>31</v>
      </c>
      <c r="F21">
        <v>4961000</v>
      </c>
      <c r="G21" s="2" t="s">
        <v>56</v>
      </c>
      <c r="H21" cm="1">
        <f t="array" ref="H21">IF(ISNUMBER(SEARCH("µ",G21)),VALUE(_xlfn.CHOOSECOLS(_xlfn.TEXTSPLIT(G21,"µ"),1)),IF(ISNUMBER(SEARCH("m",G21)),VALUE(_xlfn.CHOOSECOLS(_xlfn.TEXTSPLIT(G21,"m"),1))*1000,VALUE(_xlfn.CHOOSECOLS(_xlfn.TEXTSPLIT(G21,"s"),1))*1000000))</f>
        <v>7200000</v>
      </c>
      <c r="I21">
        <f t="shared" si="1"/>
        <v>0.68902777777777779</v>
      </c>
    </row>
    <row r="22" spans="2:9" x14ac:dyDescent="0.2">
      <c r="B22" s="1" t="s">
        <v>32</v>
      </c>
      <c r="C22" t="s">
        <v>1</v>
      </c>
      <c r="D22" t="str">
        <f t="shared" si="0"/>
        <v>day11 part1</v>
      </c>
      <c r="E22" t="s">
        <v>33</v>
      </c>
      <c r="F22">
        <v>131910</v>
      </c>
      <c r="G22" s="2" t="s">
        <v>57</v>
      </c>
      <c r="H22" cm="1">
        <f t="array" ref="H22">IF(ISNUMBER(SEARCH("µ",G22)),VALUE(_xlfn.CHOOSECOLS(_xlfn.TEXTSPLIT(G22,"µ"),1)),IF(ISNUMBER(SEARCH("m",G22)),VALUE(_xlfn.CHOOSECOLS(_xlfn.TEXTSPLIT(G22,"m"),1))*1000,VALUE(_xlfn.CHOOSECOLS(_xlfn.TEXTSPLIT(G22,"s"),1))*1000000))</f>
        <v>2800</v>
      </c>
      <c r="I22">
        <f t="shared" si="1"/>
        <v>47.110714285714288</v>
      </c>
    </row>
    <row r="23" spans="2:9" x14ac:dyDescent="0.2">
      <c r="B23" s="1" t="s">
        <v>32</v>
      </c>
      <c r="C23" t="s">
        <v>3</v>
      </c>
      <c r="D23" t="str">
        <f t="shared" si="0"/>
        <v>day11 part2</v>
      </c>
      <c r="E23" t="s">
        <v>34</v>
      </c>
      <c r="F23">
        <v>124910</v>
      </c>
      <c r="G23" s="2" t="s">
        <v>58</v>
      </c>
      <c r="H23" cm="1">
        <f t="array" ref="H23">IF(ISNUMBER(SEARCH("µ",G23)),VALUE(_xlfn.CHOOSECOLS(_xlfn.TEXTSPLIT(G23,"µ"),1)),IF(ISNUMBER(SEARCH("m",G23)),VALUE(_xlfn.CHOOSECOLS(_xlfn.TEXTSPLIT(G23,"m"),1))*1000,VALUE(_xlfn.CHOOSECOLS(_xlfn.TEXTSPLIT(G23,"s"),1))*1000000))</f>
        <v>2700</v>
      </c>
      <c r="I23">
        <f t="shared" si="1"/>
        <v>46.262962962962966</v>
      </c>
    </row>
    <row r="24" spans="2:9" x14ac:dyDescent="0.2">
      <c r="B24" s="1" t="s">
        <v>35</v>
      </c>
      <c r="C24" t="s">
        <v>1</v>
      </c>
      <c r="D24" t="str">
        <f t="shared" si="0"/>
        <v>day12 part1</v>
      </c>
      <c r="E24" t="s">
        <v>36</v>
      </c>
      <c r="F24">
        <v>20914000</v>
      </c>
      <c r="G24" s="2" t="s">
        <v>59</v>
      </c>
      <c r="H24" cm="1">
        <f t="array" ref="H24">IF(ISNUMBER(SEARCH("µ",G24)),VALUE(_xlfn.CHOOSECOLS(_xlfn.TEXTSPLIT(G24,"µ"),1)),IF(ISNUMBER(SEARCH("m",G24)),VALUE(_xlfn.CHOOSECOLS(_xlfn.TEXTSPLIT(G24,"m"),1))*1000,VALUE(_xlfn.CHOOSECOLS(_xlfn.TEXTSPLIT(G24,"s"),1))*1000000))</f>
        <v>621200</v>
      </c>
      <c r="I24">
        <f t="shared" si="1"/>
        <v>33.667095943335482</v>
      </c>
    </row>
    <row r="27" spans="2:9" x14ac:dyDescent="0.2">
      <c r="E27" s="2"/>
    </row>
    <row r="29" spans="2:9" x14ac:dyDescent="0.2">
      <c r="E29" s="2"/>
    </row>
    <row r="31" spans="2:9" x14ac:dyDescent="0.2">
      <c r="E31" s="2"/>
    </row>
    <row r="33" spans="5:5" x14ac:dyDescent="0.2">
      <c r="E33" s="2"/>
    </row>
    <row r="35" spans="5:5" x14ac:dyDescent="0.2">
      <c r="E35" s="2"/>
    </row>
    <row r="37" spans="5:5" x14ac:dyDescent="0.2">
      <c r="E37" s="2"/>
    </row>
    <row r="39" spans="5:5" x14ac:dyDescent="0.2">
      <c r="E39" s="2"/>
    </row>
    <row r="41" spans="5:5" x14ac:dyDescent="0.2">
      <c r="E41" s="2"/>
    </row>
    <row r="43" spans="5:5" x14ac:dyDescent="0.2">
      <c r="E43" s="2"/>
    </row>
    <row r="45" spans="5:5" x14ac:dyDescent="0.2">
      <c r="E45" s="2"/>
    </row>
    <row r="47" spans="5:5" x14ac:dyDescent="0.2">
      <c r="E47" s="2"/>
    </row>
    <row r="49" spans="3:4" x14ac:dyDescent="0.2">
      <c r="C49" s="2" t="s">
        <v>60</v>
      </c>
      <c r="D49" s="2"/>
    </row>
  </sheetData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Nathanail</dc:creator>
  <cp:lastModifiedBy>Alex Nathanail</cp:lastModifiedBy>
  <dcterms:created xsi:type="dcterms:W3CDTF">2025-12-27T10:46:37Z</dcterms:created>
  <dcterms:modified xsi:type="dcterms:W3CDTF">2025-12-27T11:47:43Z</dcterms:modified>
</cp:coreProperties>
</file>